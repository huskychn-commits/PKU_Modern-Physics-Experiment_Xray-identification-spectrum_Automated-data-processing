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课程作业\2025秋\近物实验\X射线标识谱\数据\数据处理\Absorb\"/>
    </mc:Choice>
  </mc:AlternateContent>
  <xr:revisionPtr revIDLastSave="0" documentId="13_ncr:9_{4E70B3E4-AAE5-4EFF-8720-D7DEBB908DD7}" xr6:coauthVersionLast="47" xr6:coauthVersionMax="47" xr10:uidLastSave="{00000000-0000-0000-0000-000000000000}"/>
  <bookViews>
    <workbookView xWindow="-108" yWindow="-108" windowWidth="23256" windowHeight="13176" xr2:uid="{58200FB3-773B-4328-B269-9732F1A5171D}"/>
  </bookViews>
  <sheets>
    <sheet name="decay_rate_summary" sheetId="1" r:id="rId1"/>
  </sheets>
  <calcPr calcId="0"/>
</workbook>
</file>

<file path=xl/calcChain.xml><?xml version="1.0" encoding="utf-8"?>
<calcChain xmlns="http://schemas.openxmlformats.org/spreadsheetml/2006/main">
  <c r="J3" i="1" l="1"/>
  <c r="J4" i="1"/>
  <c r="J5" i="1"/>
  <c r="N5" i="1" s="1"/>
  <c r="J6" i="1"/>
  <c r="J7" i="1"/>
  <c r="J8" i="1"/>
  <c r="J9" i="1"/>
  <c r="N9" i="1" s="1"/>
  <c r="J10" i="1"/>
  <c r="J11" i="1"/>
  <c r="N11" i="1" s="1"/>
  <c r="J12" i="1"/>
  <c r="L3" i="1"/>
  <c r="L4" i="1"/>
  <c r="L5" i="1"/>
  <c r="L6" i="1"/>
  <c r="L7" i="1"/>
  <c r="L8" i="1"/>
  <c r="L9" i="1"/>
  <c r="L10" i="1"/>
  <c r="L11" i="1"/>
  <c r="L12" i="1"/>
  <c r="J2" i="1"/>
  <c r="N2" i="1" s="1"/>
  <c r="N3" i="1"/>
  <c r="N4" i="1"/>
  <c r="N6" i="1"/>
  <c r="N7" i="1"/>
  <c r="N8" i="1"/>
  <c r="N10" i="1"/>
  <c r="N12" i="1"/>
  <c r="I3" i="1"/>
  <c r="I4" i="1"/>
  <c r="I5" i="1"/>
  <c r="I6" i="1"/>
  <c r="I7" i="1"/>
  <c r="I8" i="1"/>
  <c r="I9" i="1"/>
  <c r="I10" i="1"/>
  <c r="I11" i="1"/>
  <c r="I12" i="1"/>
  <c r="I2" i="1"/>
  <c r="F6" i="1"/>
  <c r="F15" i="1"/>
  <c r="L2" i="1"/>
  <c r="F13" i="1"/>
  <c r="G9" i="1"/>
  <c r="G4" i="1"/>
  <c r="H3" i="1"/>
  <c r="H4" i="1"/>
  <c r="H5" i="1"/>
  <c r="H6" i="1"/>
  <c r="H7" i="1"/>
  <c r="H8" i="1"/>
  <c r="H9" i="1"/>
  <c r="H10" i="1"/>
  <c r="H11" i="1"/>
  <c r="H12" i="1"/>
  <c r="H2" i="1"/>
  <c r="C3" i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<sst xmlns="http://schemas.openxmlformats.org/spreadsheetml/2006/main" count="35" uniqueCount="35">
  <si>
    <t>Ag</t>
  </si>
  <si>
    <t>Co</t>
  </si>
  <si>
    <t>Cu</t>
  </si>
  <si>
    <t>Fe</t>
  </si>
  <si>
    <t>Mo</t>
  </si>
  <si>
    <t>Ni</t>
  </si>
  <si>
    <t>Se</t>
  </si>
  <si>
    <t>Sr</t>
  </si>
  <si>
    <t>Ti</t>
  </si>
  <si>
    <t>Zn</t>
  </si>
  <si>
    <t>Zr</t>
  </si>
  <si>
    <t>元素</t>
    <phoneticPr fontId="18" type="noConversion"/>
  </si>
  <si>
    <t>峰位置/道</t>
    <phoneticPr fontId="18" type="noConversion"/>
  </si>
  <si>
    <t>层衰减系数</t>
    <phoneticPr fontId="18" type="noConversion"/>
  </si>
  <si>
    <t>误差</t>
    <phoneticPr fontId="18" type="noConversion"/>
  </si>
  <si>
    <t>能量/keV</t>
    <phoneticPr fontId="18" type="noConversion"/>
  </si>
  <si>
    <t>道系数</t>
    <phoneticPr fontId="18" type="noConversion"/>
  </si>
  <si>
    <r>
      <t>衰减系数</t>
    </r>
    <r>
      <rPr>
        <b/>
        <sz val="11"/>
        <color theme="1"/>
        <rFont val="Times New Roman"/>
        <family val="1"/>
      </rPr>
      <t>/μm</t>
    </r>
    <r>
      <rPr>
        <b/>
        <vertAlign val="superscript"/>
        <sz val="11"/>
        <color theme="1"/>
        <rFont val="Times New Roman"/>
        <family val="1"/>
      </rPr>
      <t>-1</t>
    </r>
    <phoneticPr fontId="18" type="noConversion"/>
  </si>
  <si>
    <t>层厚/μm</t>
    <phoneticPr fontId="18" type="noConversion"/>
  </si>
  <si>
    <t>铝密度</t>
    <phoneticPr fontId="18" type="noConversion"/>
  </si>
  <si>
    <t>铝原子质量</t>
    <phoneticPr fontId="18" type="noConversion"/>
  </si>
  <si>
    <t>铝数密度</t>
    <phoneticPr fontId="18" type="noConversion"/>
  </si>
  <si>
    <t>理论截面</t>
    <phoneticPr fontId="18" type="noConversion"/>
  </si>
  <si>
    <t>电子电量e</t>
    <phoneticPr fontId="18" type="noConversion"/>
  </si>
  <si>
    <t>约化普朗克常数hbar</t>
    <phoneticPr fontId="18" type="noConversion"/>
  </si>
  <si>
    <t>光速c</t>
    <phoneticPr fontId="18" type="noConversion"/>
  </si>
  <si>
    <t>圆周率pi</t>
    <phoneticPr fontId="18" type="noConversion"/>
  </si>
  <si>
    <t>电子质量me/kg</t>
    <phoneticPr fontId="18" type="noConversion"/>
  </si>
  <si>
    <t>玻尔半径a0</t>
    <phoneticPr fontId="18" type="noConversion"/>
  </si>
  <si>
    <t>峰宽/道</t>
    <phoneticPr fontId="18" type="noConversion"/>
  </si>
  <si>
    <t>峰宽/keV</t>
    <phoneticPr fontId="18" type="noConversion"/>
  </si>
  <si>
    <t>精细结构常数α</t>
    <phoneticPr fontId="18" type="noConversion"/>
  </si>
  <si>
    <t>散射截面/10-20m2</t>
    <phoneticPr fontId="18" type="noConversion"/>
  </si>
  <si>
    <t>有效反应电荷</t>
    <phoneticPr fontId="18" type="noConversion"/>
  </si>
  <si>
    <t>原子序数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</si>
</sst>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有效反应电荷随原子序数变化关系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decay_rate_summary!$M$2:$M$12</c:f>
              <c:numCache>
                <c:formatCode>General</c:formatCode>
                <c:ptCount val="11"/>
                <c:pt idx="0">
                  <c:v>22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34</c:v>
                </c:pt>
                <c:pt idx="7">
                  <c:v>38</c:v>
                </c:pt>
                <c:pt idx="8">
                  <c:v>40</c:v>
                </c:pt>
                <c:pt idx="9">
                  <c:v>42</c:v>
                </c:pt>
                <c:pt idx="10">
                  <c:v>47</c:v>
                </c:pt>
              </c:numCache>
            </c:numRef>
          </c:xVal>
          <c:yVal>
            <c:numRef>
              <c:f>decay_rate_summary!$N$2:$N$12</c:f>
              <c:numCache>
                <c:formatCode>General</c:formatCode>
                <c:ptCount val="11"/>
                <c:pt idx="0">
                  <c:v>4.3577272415868462</c:v>
                </c:pt>
                <c:pt idx="1">
                  <c:v>5.448791945740032</c:v>
                </c:pt>
                <c:pt idx="2">
                  <c:v>5.7787629820322666</c:v>
                </c:pt>
                <c:pt idx="3">
                  <c:v>6.000453907516091</c:v>
                </c:pt>
                <c:pt idx="4">
                  <c:v>6.3781882318371137</c:v>
                </c:pt>
                <c:pt idx="5">
                  <c:v>6.5519453888887718</c:v>
                </c:pt>
                <c:pt idx="6">
                  <c:v>7.5480076384511303</c:v>
                </c:pt>
                <c:pt idx="7">
                  <c:v>8.6073647875815382</c:v>
                </c:pt>
                <c:pt idx="8">
                  <c:v>9.019015553619008</c:v>
                </c:pt>
                <c:pt idx="9">
                  <c:v>9.2979105666194997</c:v>
                </c:pt>
                <c:pt idx="10">
                  <c:v>10.933530328881721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3C-4CEF-8482-FB4D7DDBA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053296"/>
        <c:axId val="2018052816"/>
      </c:scatterChart>
      <c:valAx>
        <c:axId val="2018053296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原子序数</a:t>
                </a:r>
                <a:r>
                  <a:rPr lang="en-US" altLang="zh-CN"/>
                  <a:t>Z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8052816"/>
        <c:crosses val="autoZero"/>
        <c:crossBetween val="midCat"/>
      </c:valAx>
      <c:valAx>
        <c:axId val="201805281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有效反应电荷数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8053296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14</xdr:row>
      <xdr:rowOff>114300</xdr:rowOff>
    </xdr:from>
    <xdr:to>
      <xdr:col>14</xdr:col>
      <xdr:colOff>457200</xdr:colOff>
      <xdr:row>32</xdr:row>
      <xdr:rowOff>7620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1366DC1-12E1-3458-DB08-6F9BD175F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47161-5797-48AF-8FBA-BDEFF7385F39}">
  <dimension ref="A1:N15"/>
  <sheetViews>
    <sheetView tabSelected="1" topLeftCell="A6" workbookViewId="0">
      <selection activeCell="N11" sqref="N11"/>
    </sheetView>
  </sheetViews>
  <sheetFormatPr defaultRowHeight="13.8" x14ac:dyDescent="0.25"/>
  <cols>
    <col min="6" max="6" width="13.109375" bestFit="1" customWidth="1"/>
    <col min="7" max="7" width="9.88671875" bestFit="1" customWidth="1"/>
    <col min="9" max="9" width="13.109375" bestFit="1" customWidth="1"/>
    <col min="10" max="10" width="9.33203125" bestFit="1" customWidth="1"/>
    <col min="11" max="11" width="10.33203125" bestFit="1" customWidth="1"/>
    <col min="13" max="13" width="9.33203125" style="3" bestFit="1" customWidth="1"/>
  </cols>
  <sheetData>
    <row r="1" spans="1:14" ht="16.8" x14ac:dyDescent="0.25">
      <c r="A1" t="s">
        <v>11</v>
      </c>
      <c r="B1" t="s">
        <v>12</v>
      </c>
      <c r="C1" t="s">
        <v>15</v>
      </c>
      <c r="D1" t="s">
        <v>13</v>
      </c>
      <c r="E1" t="s">
        <v>14</v>
      </c>
      <c r="F1" t="s">
        <v>16</v>
      </c>
      <c r="G1" t="s">
        <v>18</v>
      </c>
      <c r="H1" s="1" t="s">
        <v>17</v>
      </c>
      <c r="I1" t="s">
        <v>32</v>
      </c>
      <c r="J1" t="s">
        <v>22</v>
      </c>
      <c r="K1" t="s">
        <v>29</v>
      </c>
      <c r="L1" t="s">
        <v>30</v>
      </c>
      <c r="M1" s="3" t="s">
        <v>34</v>
      </c>
      <c r="N1" s="3" t="s">
        <v>33</v>
      </c>
    </row>
    <row r="2" spans="1:14" x14ac:dyDescent="0.25">
      <c r="A2" t="s">
        <v>8</v>
      </c>
      <c r="B2">
        <v>66.641300000000001</v>
      </c>
      <c r="C2">
        <f>B2*$F$2</f>
        <v>4.3116921100000001</v>
      </c>
      <c r="D2">
        <v>1.4488589999999999</v>
      </c>
      <c r="E2">
        <v>2.3389999999999999E-3</v>
      </c>
      <c r="F2">
        <v>6.4699999999999994E-2</v>
      </c>
      <c r="G2">
        <v>19.600000000000001</v>
      </c>
      <c r="H2">
        <f>D2/$G$2</f>
        <v>7.3921377551020392E-2</v>
      </c>
      <c r="I2">
        <f>H2*10^6/($F$6*$G$2*10^-6)*10^20</f>
        <v>6.2578943958535787</v>
      </c>
      <c r="J2" s="3">
        <f>64*SQRT(2)*$F$11/3*$F$15*(($F$13*C2*1000*$F$9)/($G$9^2))^(-7/2)*(13/$G$13)^5*10^23</f>
        <v>1.4360454541837722</v>
      </c>
      <c r="K2" s="3">
        <v>7.2456629820301304</v>
      </c>
      <c r="L2" s="3">
        <f>K2*$F$2</f>
        <v>0.46879439493734937</v>
      </c>
      <c r="M2" s="3">
        <v>22</v>
      </c>
      <c r="N2" s="3">
        <f>I2/J2</f>
        <v>4.3577272415868462</v>
      </c>
    </row>
    <row r="3" spans="1:14" x14ac:dyDescent="0.25">
      <c r="A3" t="s">
        <v>3</v>
      </c>
      <c r="B3">
        <v>93.953000000000003</v>
      </c>
      <c r="C3">
        <f t="shared" ref="C3:C12" si="0">B3*$F$2</f>
        <v>6.0787590999999992</v>
      </c>
      <c r="D3">
        <v>0.54447900000000005</v>
      </c>
      <c r="E3">
        <v>2.186E-3</v>
      </c>
      <c r="F3" t="s">
        <v>19</v>
      </c>
      <c r="G3" t="s">
        <v>20</v>
      </c>
      <c r="H3">
        <f t="shared" ref="H3:H12" si="1">D3/$G$2</f>
        <v>2.7779540816326533E-2</v>
      </c>
      <c r="I3">
        <f t="shared" ref="I3:I12" si="2">H3*10^6/($F$6*$G$2*10^-6)*10^20</f>
        <v>2.3517071590540977</v>
      </c>
      <c r="J3" s="3">
        <f t="shared" ref="J3:J12" si="3">64*SQRT(2)*$F$11/3*$F$15*(($F$13*C3*1000*$F$9)/($G$9^2))^(-7/2)*(13/$G$13)^5*10^23</f>
        <v>0.43160157012284284</v>
      </c>
      <c r="K3" s="3">
        <v>8.7700586199084096</v>
      </c>
      <c r="L3" s="3">
        <f t="shared" ref="L3:L12" si="4">K3*$F$2</f>
        <v>0.56742279270807405</v>
      </c>
      <c r="M3" s="3">
        <v>26</v>
      </c>
      <c r="N3" s="3">
        <f>I3/J3</f>
        <v>5.448791945740032</v>
      </c>
    </row>
    <row r="4" spans="1:14" x14ac:dyDescent="0.25">
      <c r="A4" t="s">
        <v>1</v>
      </c>
      <c r="B4">
        <v>101.6375</v>
      </c>
      <c r="C4">
        <f t="shared" si="0"/>
        <v>6.5759462499999994</v>
      </c>
      <c r="D4">
        <v>0.43854500000000002</v>
      </c>
      <c r="E4">
        <v>2.4710000000000001E-3</v>
      </c>
      <c r="F4">
        <v>2.7</v>
      </c>
      <c r="G4">
        <f>4.48*10^(-26)</f>
        <v>4.4799999999999999E-26</v>
      </c>
      <c r="H4">
        <f t="shared" si="1"/>
        <v>2.2374744897959185E-2</v>
      </c>
      <c r="I4">
        <f t="shared" si="2"/>
        <v>1.894158298239931</v>
      </c>
      <c r="J4" s="3">
        <f t="shared" si="3"/>
        <v>0.32777919844253522</v>
      </c>
      <c r="K4" s="3">
        <v>9.1033123255808608</v>
      </c>
      <c r="L4" s="3">
        <f t="shared" si="4"/>
        <v>0.58898430746508168</v>
      </c>
      <c r="M4" s="3">
        <v>27</v>
      </c>
      <c r="N4" s="3">
        <f>I4/J4</f>
        <v>5.7787629820322666</v>
      </c>
    </row>
    <row r="5" spans="1:14" x14ac:dyDescent="0.25">
      <c r="A5" t="s">
        <v>5</v>
      </c>
      <c r="B5">
        <v>109.986</v>
      </c>
      <c r="C5">
        <f t="shared" si="0"/>
        <v>7.1160941999999991</v>
      </c>
      <c r="D5">
        <v>0.345439</v>
      </c>
      <c r="E5">
        <v>3.0669999999999998E-3</v>
      </c>
      <c r="F5" t="s">
        <v>21</v>
      </c>
      <c r="H5">
        <f t="shared" si="1"/>
        <v>1.7624438775510204E-2</v>
      </c>
      <c r="I5">
        <f t="shared" si="2"/>
        <v>1.4920159809955724</v>
      </c>
      <c r="J5" s="3">
        <f t="shared" si="3"/>
        <v>0.2486505194426529</v>
      </c>
      <c r="K5" s="3">
        <v>9.4366552309332903</v>
      </c>
      <c r="L5" s="3">
        <f t="shared" si="4"/>
        <v>0.61055159344138377</v>
      </c>
      <c r="M5" s="3">
        <v>28</v>
      </c>
      <c r="N5" s="3">
        <f>I5/J5</f>
        <v>6.000453907516091</v>
      </c>
    </row>
    <row r="6" spans="1:14" x14ac:dyDescent="0.25">
      <c r="A6" t="s">
        <v>2</v>
      </c>
      <c r="B6">
        <v>118.63209999999999</v>
      </c>
      <c r="C6">
        <f t="shared" si="0"/>
        <v>7.675496869999999</v>
      </c>
      <c r="D6">
        <v>0.281746</v>
      </c>
      <c r="E6">
        <v>5.8699999999999996E-4</v>
      </c>
      <c r="F6">
        <f>F4*10^3/G4</f>
        <v>6.0267857142857147E+28</v>
      </c>
      <c r="H6">
        <f t="shared" si="1"/>
        <v>1.4374795918367345E-2</v>
      </c>
      <c r="I6">
        <f t="shared" si="2"/>
        <v>1.2169139401792459</v>
      </c>
      <c r="J6" s="3">
        <f t="shared" si="3"/>
        <v>0.19079304278054168</v>
      </c>
      <c r="K6" s="3">
        <v>9.7866983151054203</v>
      </c>
      <c r="L6" s="3">
        <f t="shared" si="4"/>
        <v>0.63319938098732065</v>
      </c>
      <c r="M6" s="3">
        <v>29</v>
      </c>
      <c r="N6" s="3">
        <f>I6/J6</f>
        <v>6.3781882318371137</v>
      </c>
    </row>
    <row r="7" spans="1:14" x14ac:dyDescent="0.25">
      <c r="A7" t="s">
        <v>9</v>
      </c>
      <c r="B7">
        <v>127.5527</v>
      </c>
      <c r="C7">
        <f t="shared" si="0"/>
        <v>8.2526596899999998</v>
      </c>
      <c r="D7">
        <v>0.22455600000000001</v>
      </c>
      <c r="E7">
        <v>2.4390000000000002E-3</v>
      </c>
      <c r="H7">
        <f t="shared" si="1"/>
        <v>1.1456938775510203E-2</v>
      </c>
      <c r="I7">
        <f t="shared" si="2"/>
        <v>0.96989957887917055</v>
      </c>
      <c r="J7" s="3">
        <f t="shared" si="3"/>
        <v>0.14803230511108828</v>
      </c>
      <c r="K7" s="3">
        <v>10.114099278139401</v>
      </c>
      <c r="L7" s="3">
        <f t="shared" si="4"/>
        <v>0.65438222329561913</v>
      </c>
      <c r="M7" s="3">
        <v>30</v>
      </c>
      <c r="N7" s="3">
        <f>I7/J7</f>
        <v>6.5519453888887718</v>
      </c>
    </row>
    <row r="8" spans="1:14" x14ac:dyDescent="0.25">
      <c r="A8" t="s">
        <v>6</v>
      </c>
      <c r="B8">
        <v>166.18530000000001</v>
      </c>
      <c r="C8">
        <f t="shared" si="0"/>
        <v>10.752188909999999</v>
      </c>
      <c r="D8">
        <v>0.102477</v>
      </c>
      <c r="E8">
        <v>8.6700000000000004E-4</v>
      </c>
      <c r="F8" t="s">
        <v>23</v>
      </c>
      <c r="G8" t="s">
        <v>24</v>
      </c>
      <c r="H8">
        <f t="shared" si="1"/>
        <v>5.2284183673469388E-3</v>
      </c>
      <c r="I8">
        <f t="shared" si="2"/>
        <v>0.44261742792355036</v>
      </c>
      <c r="J8" s="3">
        <f t="shared" si="3"/>
        <v>5.8640299417393876E-2</v>
      </c>
      <c r="K8" s="3">
        <v>11.531926861209699</v>
      </c>
      <c r="L8" s="3">
        <f t="shared" si="4"/>
        <v>0.74611566792026751</v>
      </c>
      <c r="M8" s="3">
        <v>34</v>
      </c>
      <c r="N8" s="3">
        <f>I8/J8</f>
        <v>7.5480076384511303</v>
      </c>
    </row>
    <row r="9" spans="1:14" x14ac:dyDescent="0.25">
      <c r="A9" t="s">
        <v>7</v>
      </c>
      <c r="B9">
        <v>209.26560000000001</v>
      </c>
      <c r="C9">
        <f t="shared" si="0"/>
        <v>13.53948432</v>
      </c>
      <c r="D9">
        <v>5.2155E-2</v>
      </c>
      <c r="E9">
        <v>2.6600000000000001E-4</v>
      </c>
      <c r="F9" s="2">
        <v>1.6021766339999999E-19</v>
      </c>
      <c r="G9" s="2">
        <f>6.62607015E-34/(2*F11)</f>
        <v>1.0545718176461575E-34</v>
      </c>
      <c r="H9">
        <f t="shared" si="1"/>
        <v>2.6609693877551019E-3</v>
      </c>
      <c r="I9">
        <f t="shared" si="2"/>
        <v>0.22526724975704565</v>
      </c>
      <c r="J9" s="3">
        <f t="shared" si="3"/>
        <v>2.6171453785954889E-2</v>
      </c>
      <c r="K9" s="3">
        <v>12.9558532625864</v>
      </c>
      <c r="L9" s="3">
        <f t="shared" si="4"/>
        <v>0.83824370608933996</v>
      </c>
      <c r="M9" s="3">
        <v>38</v>
      </c>
      <c r="N9" s="3">
        <f>I9/J9</f>
        <v>8.6073647875815382</v>
      </c>
    </row>
    <row r="10" spans="1:14" x14ac:dyDescent="0.25">
      <c r="A10" t="s">
        <v>10</v>
      </c>
      <c r="B10">
        <v>235.6191</v>
      </c>
      <c r="C10">
        <f t="shared" si="0"/>
        <v>15.244555769999998</v>
      </c>
      <c r="D10">
        <v>3.6082000000000003E-2</v>
      </c>
      <c r="E10">
        <v>5.22E-4</v>
      </c>
      <c r="F10" t="s">
        <v>26</v>
      </c>
      <c r="G10" t="s">
        <v>25</v>
      </c>
      <c r="H10">
        <f t="shared" si="1"/>
        <v>1.8409183673469389E-3</v>
      </c>
      <c r="I10">
        <f t="shared" si="2"/>
        <v>0.15584494115106357</v>
      </c>
      <c r="J10" s="3">
        <f t="shared" si="3"/>
        <v>1.7279595563900383E-2</v>
      </c>
      <c r="K10" s="3">
        <v>13.6748891120506</v>
      </c>
      <c r="L10" s="3">
        <f t="shared" si="4"/>
        <v>0.8847653255496738</v>
      </c>
      <c r="M10" s="3">
        <v>40</v>
      </c>
      <c r="N10" s="3">
        <f>I10/J10</f>
        <v>9.019015553619008</v>
      </c>
    </row>
    <row r="11" spans="1:14" x14ac:dyDescent="0.25">
      <c r="A11" t="s">
        <v>4</v>
      </c>
      <c r="B11">
        <v>265.59980000000002</v>
      </c>
      <c r="C11">
        <f t="shared" si="0"/>
        <v>17.184307059999998</v>
      </c>
      <c r="D11">
        <v>2.4459999999999999E-2</v>
      </c>
      <c r="E11">
        <v>1.4660000000000001E-3</v>
      </c>
      <c r="F11">
        <v>3.14159265358979</v>
      </c>
      <c r="G11">
        <v>299792458</v>
      </c>
      <c r="H11">
        <f t="shared" si="1"/>
        <v>1.2479591836734693E-3</v>
      </c>
      <c r="I11">
        <f t="shared" si="2"/>
        <v>0.10564733830039952</v>
      </c>
      <c r="J11" s="3">
        <f t="shared" si="3"/>
        <v>1.1362481661168568E-2</v>
      </c>
      <c r="K11" s="3">
        <v>14.3979516426704</v>
      </c>
      <c r="L11" s="3">
        <f t="shared" si="4"/>
        <v>0.93154747128077475</v>
      </c>
      <c r="M11" s="3">
        <v>42</v>
      </c>
      <c r="N11" s="3">
        <f>I11/J11</f>
        <v>9.2979105666194997</v>
      </c>
    </row>
    <row r="12" spans="1:14" x14ac:dyDescent="0.25">
      <c r="A12" t="s">
        <v>0</v>
      </c>
      <c r="B12">
        <v>331.96980000000002</v>
      </c>
      <c r="C12">
        <f t="shared" si="0"/>
        <v>21.47844606</v>
      </c>
      <c r="D12">
        <v>1.3176E-2</v>
      </c>
      <c r="E12">
        <v>1.83E-4</v>
      </c>
      <c r="F12" t="s">
        <v>27</v>
      </c>
      <c r="G12" t="s">
        <v>28</v>
      </c>
      <c r="H12">
        <f t="shared" si="1"/>
        <v>6.7224489795918358E-4</v>
      </c>
      <c r="I12">
        <f t="shared" si="2"/>
        <v>5.6909620991253636E-2</v>
      </c>
      <c r="J12" s="3">
        <f t="shared" si="3"/>
        <v>5.2050544773194346E-3</v>
      </c>
      <c r="K12" s="3">
        <v>16.154909979375201</v>
      </c>
      <c r="L12" s="3">
        <f t="shared" si="4"/>
        <v>1.0452226756655754</v>
      </c>
      <c r="M12" s="3">
        <v>47</v>
      </c>
      <c r="N12" s="3">
        <f>I12/J12</f>
        <v>10.933530328881721</v>
      </c>
    </row>
    <row r="13" spans="1:14" x14ac:dyDescent="0.25">
      <c r="F13">
        <f>9.1093837015*10^-31</f>
        <v>9.1093837015000008E-31</v>
      </c>
      <c r="G13" s="2">
        <v>5.2917721090299998E-11</v>
      </c>
    </row>
    <row r="14" spans="1:14" x14ac:dyDescent="0.25">
      <c r="F14" t="s">
        <v>31</v>
      </c>
    </row>
    <row r="15" spans="1:14" x14ac:dyDescent="0.25">
      <c r="F15">
        <f>1/137.035999206</f>
        <v>7.2973525627871346E-3</v>
      </c>
    </row>
  </sheetData>
  <sortState xmlns:xlrd2="http://schemas.microsoft.com/office/spreadsheetml/2017/richdata2" ref="A2:F12">
    <sortCondition ref="B2:B12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decay_rate_summary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陈思源</dc:creator>
  <cp:lastModifiedBy>思源 陈</cp:lastModifiedBy>
  <dcterms:created xsi:type="dcterms:W3CDTF">2025-12-09T07:27:57Z</dcterms:created>
  <dcterms:modified xsi:type="dcterms:W3CDTF">2025-12-09T10:44:15Z</dcterms:modified>
</cp:coreProperties>
</file>